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C7D7DFBA-A3E8-793F-BDBE-722D05640CCE}"/>
  <workbookPr codeName="ThisWorkbook" defaultThemeVersion="124226"/>
  <bookViews>
    <workbookView xWindow="-15" yWindow="-15" windowWidth="18825" windowHeight="7740"/>
  </bookViews>
  <sheets>
    <sheet name="Candidate's Systems" sheetId="4" r:id="rId1"/>
    <sheet name="Results " sheetId="2" r:id="rId2"/>
    <sheet name="Minimum Requirements" sheetId="5" r:id="rId3"/>
  </sheets>
  <definedNames>
    <definedName name="_xlnm.Print_Area" localSheetId="1">'Results '!$B$2:$D$26</definedName>
  </definedNames>
  <calcPr calcId="125725"/>
</workbook>
</file>

<file path=xl/calcChain.xml><?xml version="1.0" encoding="utf-8"?>
<calcChain xmlns="http://schemas.openxmlformats.org/spreadsheetml/2006/main">
  <c r="B24" i="4"/>
  <c r="B19" i="2" l="1"/>
  <c r="B18"/>
  <c r="B15"/>
  <c r="B16"/>
  <c r="B13"/>
  <c r="B14"/>
  <c r="D11" i="4"/>
  <c r="D18" s="1"/>
  <c r="C18" s="1"/>
  <c r="C11"/>
  <c r="D17" s="1"/>
  <c r="C19" i="2" s="1"/>
  <c r="B15" i="4"/>
  <c r="B16"/>
  <c r="D16" s="1"/>
  <c r="B14"/>
  <c r="B13"/>
  <c r="B21"/>
  <c r="B20"/>
  <c r="D20" s="1"/>
  <c r="B25" s="1"/>
  <c r="B19"/>
  <c r="D19" s="1"/>
  <c r="C16" i="2" s="1"/>
  <c r="B23" i="4" l="1"/>
  <c r="C13" i="2" s="1"/>
  <c r="C15"/>
  <c r="C17" i="4"/>
  <c r="C20"/>
  <c r="B18"/>
  <c r="B28" s="1"/>
  <c r="C18" i="2"/>
  <c r="B17" i="4"/>
  <c r="B27" s="1"/>
  <c r="D21" l="1"/>
  <c r="B26" s="1"/>
  <c r="C19"/>
  <c r="C21" l="1"/>
  <c r="C14" i="2"/>
  <c r="F10" i="4"/>
  <c r="C16" l="1"/>
  <c r="D15" i="2" l="1"/>
  <c r="D16"/>
  <c r="C6"/>
  <c r="C5"/>
  <c r="D18" l="1"/>
  <c r="D13" l="1"/>
  <c r="D19"/>
  <c r="D14"/>
  <c r="D6" l="1"/>
  <c r="C13" i="4" s="1"/>
</calcChain>
</file>

<file path=xl/sharedStrings.xml><?xml version="1.0" encoding="utf-8"?>
<sst xmlns="http://schemas.openxmlformats.org/spreadsheetml/2006/main" count="64" uniqueCount="49">
  <si>
    <t>Your Computer</t>
  </si>
  <si>
    <t>Internet Speed</t>
  </si>
  <si>
    <t>System Hardware</t>
  </si>
  <si>
    <t>Pass</t>
  </si>
  <si>
    <t>Web Browsers:</t>
  </si>
  <si>
    <t>Date and Time of Audit: </t>
  </si>
  <si>
    <t>System Audit Results</t>
  </si>
  <si>
    <t>To Paste In Remote Candidate Tracker</t>
  </si>
  <si>
    <t>Status:</t>
  </si>
  <si>
    <t>StatesideBPO Requirements</t>
  </si>
  <si>
    <t>Microsoft Office</t>
  </si>
  <si>
    <t>If you do not have any version of Microsoft Office, Please be sure to download Open Office or Libre Office.</t>
  </si>
  <si>
    <t>Plantronics is our recommended brand.</t>
  </si>
  <si>
    <t>Additional information:</t>
  </si>
  <si>
    <t>Candidate Name:</t>
  </si>
  <si>
    <t>name</t>
  </si>
  <si>
    <t>Personal Email</t>
  </si>
  <si>
    <t>Run date</t>
  </si>
  <si>
    <t>OS</t>
  </si>
  <si>
    <t>Download</t>
  </si>
  <si>
    <t>upload</t>
  </si>
  <si>
    <t>CPU rating</t>
  </si>
  <si>
    <t>RAM</t>
  </si>
  <si>
    <t>HD free</t>
  </si>
  <si>
    <t>Minimum Requirements</t>
  </si>
  <si>
    <t>CPU Score</t>
  </si>
  <si>
    <t>HDD</t>
  </si>
  <si>
    <t>DL</t>
  </si>
  <si>
    <t>UL</t>
  </si>
  <si>
    <t>Recently we sent you instructions to complete a WinAudit. This enables us to determine if your computer and internet connection meet our requirements. If you have failed any portion of this audit you must bring your system up to our minimum requirements as outlined on this form. You may then run the system audit again. You will receive another results document like this one within 48 hours of submission. (excluding weekends and holidays)</t>
  </si>
  <si>
    <t>Information not collected in system audit, but is required</t>
  </si>
  <si>
    <t xml:space="preserve">Candidate's System Information </t>
  </si>
  <si>
    <t>Internet Explorer
Google Chrome
Mozilla Firefox</t>
  </si>
  <si>
    <t>Webcam</t>
  </si>
  <si>
    <t>Integrated or external USB webcam is required.</t>
  </si>
  <si>
    <t>Monitors:  19" or greater</t>
  </si>
  <si>
    <t>A 15.6" Laptop is acceptable. A second monitor is required. (Minimum 19 inches)</t>
  </si>
  <si>
    <t>Headset: USB connection</t>
  </si>
  <si>
    <t>0-499</t>
  </si>
  <si>
    <t>500-699</t>
  </si>
  <si>
    <t>700-999</t>
  </si>
  <si>
    <t>1000-1999</t>
  </si>
  <si>
    <t>2000-3999</t>
  </si>
  <si>
    <t>4000-6999</t>
  </si>
  <si>
    <t>7000 or higher</t>
  </si>
  <si>
    <t>No Score Given
(Check Benchmark)</t>
  </si>
  <si>
    <t>http://cpubenchmark.net/cpu_list.php</t>
  </si>
  <si>
    <t>Score to give
(Enter in H11)</t>
  </si>
  <si>
    <t>Email Address: queenjamis@gmail.com</t>
  </si>
</sst>
</file>

<file path=xl/styles.xml><?xml version="1.0" encoding="utf-8"?>
<styleSheet xmlns="http://schemas.openxmlformats.org/spreadsheetml/2006/main">
  <numFmts count="1">
    <numFmt numFmtId="164" formatCode="0.0"/>
  </numFmts>
  <fonts count="29">
    <font>
      <sz val="11"/>
      <color theme="1"/>
      <name val="Calibri"/>
      <family val="2"/>
      <scheme val="minor"/>
    </font>
    <font>
      <sz val="14"/>
      <color theme="1"/>
      <name val="Calibri"/>
      <family val="2"/>
      <scheme val="minor"/>
    </font>
    <font>
      <b/>
      <sz val="14"/>
      <color theme="1"/>
      <name val="Calibri"/>
      <family val="2"/>
      <scheme val="minor"/>
    </font>
    <font>
      <sz val="12"/>
      <color theme="1"/>
      <name val="Calibri"/>
      <family val="2"/>
      <scheme val="minor"/>
    </font>
    <font>
      <sz val="13"/>
      <color theme="1"/>
      <name val="Arial"/>
      <family val="2"/>
    </font>
    <font>
      <u/>
      <sz val="26"/>
      <color theme="1"/>
      <name val="Calibri"/>
      <family val="2"/>
      <scheme val="minor"/>
    </font>
    <font>
      <u/>
      <sz val="26"/>
      <color theme="1"/>
      <name val="Arial"/>
      <family val="2"/>
    </font>
    <font>
      <b/>
      <sz val="14"/>
      <color rgb="FF92D050"/>
      <name val="Calibri"/>
      <family val="2"/>
      <scheme val="minor"/>
    </font>
    <font>
      <u/>
      <sz val="11"/>
      <color theme="10"/>
      <name val="Calibri"/>
      <family val="2"/>
    </font>
    <font>
      <b/>
      <sz val="12"/>
      <color theme="1"/>
      <name val="Calibri"/>
      <family val="2"/>
      <scheme val="minor"/>
    </font>
    <font>
      <b/>
      <sz val="13"/>
      <color theme="1"/>
      <name val="Calibri"/>
      <family val="2"/>
      <scheme val="minor"/>
    </font>
    <font>
      <sz val="12"/>
      <color theme="1"/>
      <name val="Arial"/>
      <family val="2"/>
    </font>
    <font>
      <b/>
      <sz val="14"/>
      <color rgb="FFFF0000"/>
      <name val="Calibri"/>
      <family val="2"/>
      <scheme val="minor"/>
    </font>
    <font>
      <b/>
      <sz val="24"/>
      <color theme="1"/>
      <name val="Calibri"/>
      <family val="2"/>
      <scheme val="minor"/>
    </font>
    <font>
      <b/>
      <sz val="14"/>
      <color rgb="FF00B050"/>
      <name val="Calibri"/>
      <family val="2"/>
      <scheme val="minor"/>
    </font>
    <font>
      <sz val="24"/>
      <color theme="1"/>
      <name val="Calibri"/>
      <family val="2"/>
      <scheme val="minor"/>
    </font>
    <font>
      <b/>
      <sz val="14"/>
      <color rgb="FFC00000"/>
      <name val="Calibri"/>
      <family val="2"/>
      <scheme val="minor"/>
    </font>
    <font>
      <b/>
      <sz val="24"/>
      <name val="Calibri"/>
      <family val="2"/>
      <scheme val="minor"/>
    </font>
    <font>
      <b/>
      <sz val="20"/>
      <color theme="1"/>
      <name val="Calibri"/>
      <family val="2"/>
      <scheme val="minor"/>
    </font>
    <font>
      <b/>
      <sz val="20"/>
      <color theme="1"/>
      <name val="Arial"/>
      <family val="2"/>
    </font>
    <font>
      <sz val="13"/>
      <color theme="1"/>
      <name val="Calibri"/>
      <family val="2"/>
      <scheme val="minor"/>
    </font>
    <font>
      <b/>
      <sz val="10.5"/>
      <color theme="1"/>
      <name val="Segoe UI"/>
      <family val="2"/>
    </font>
    <font>
      <sz val="10.5"/>
      <color theme="1"/>
      <name val="Segoe UI"/>
      <family val="2"/>
    </font>
    <font>
      <sz val="11"/>
      <color theme="0"/>
      <name val="Calibri"/>
      <family val="2"/>
      <scheme val="minor"/>
    </font>
    <font>
      <sz val="12"/>
      <name val="Calibri"/>
      <family val="2"/>
      <scheme val="minor"/>
    </font>
    <font>
      <sz val="11"/>
      <name val="Arial"/>
      <family val="2"/>
    </font>
    <font>
      <b/>
      <sz val="12"/>
      <name val="Calibri"/>
      <family val="2"/>
      <scheme val="minor"/>
    </font>
    <font>
      <b/>
      <sz val="24"/>
      <color rgb="FF00B050"/>
      <name val="Calibri"/>
      <family val="2"/>
      <scheme val="minor"/>
    </font>
    <font>
      <b/>
      <sz val="11"/>
      <color theme="1"/>
      <name val="Calibri"/>
      <family val="2"/>
      <scheme val="minor"/>
    </font>
  </fonts>
  <fills count="6">
    <fill>
      <patternFill patternType="none"/>
    </fill>
    <fill>
      <patternFill patternType="gray125"/>
    </fill>
    <fill>
      <patternFill patternType="solid">
        <fgColor theme="2"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2" tint="-9.9978637043366805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8" fillId="0" borderId="0" applyNumberFormat="0" applyFill="0" applyBorder="0" applyAlignment="0" applyProtection="0">
      <alignment vertical="top"/>
      <protection locked="0"/>
    </xf>
  </cellStyleXfs>
  <cellXfs count="116">
    <xf numFmtId="0" fontId="0" fillId="0" borderId="0" xfId="0"/>
    <xf numFmtId="0" fontId="0" fillId="0" borderId="0" xfId="0" applyAlignment="1">
      <alignment wrapText="1"/>
    </xf>
    <xf numFmtId="0" fontId="1" fillId="0" borderId="0" xfId="0" applyFont="1" applyBorder="1" applyAlignment="1">
      <alignment wrapText="1"/>
    </xf>
    <xf numFmtId="0" fontId="4" fillId="0" borderId="0" xfId="0" applyFont="1" applyBorder="1" applyAlignment="1">
      <alignment wrapText="1"/>
    </xf>
    <xf numFmtId="0" fontId="0" fillId="0" borderId="0" xfId="0" applyAlignment="1">
      <alignment vertical="center"/>
    </xf>
    <xf numFmtId="0" fontId="5" fillId="0" borderId="0" xfId="0" applyFont="1" applyBorder="1" applyAlignment="1">
      <alignment horizontal="center" vertical="center"/>
    </xf>
    <xf numFmtId="0" fontId="6" fillId="0" borderId="0" xfId="0" applyFont="1" applyBorder="1" applyAlignment="1">
      <alignment horizontal="center" vertical="center"/>
    </xf>
    <xf numFmtId="0" fontId="3" fillId="0" borderId="1" xfId="0" applyFont="1" applyBorder="1"/>
    <xf numFmtId="0" fontId="3" fillId="0" borderId="1" xfId="0" applyFont="1" applyBorder="1" applyAlignment="1"/>
    <xf numFmtId="0" fontId="7" fillId="0" borderId="1" xfId="0" applyFont="1" applyBorder="1" applyAlignment="1">
      <alignment horizontal="center"/>
    </xf>
    <xf numFmtId="0" fontId="12" fillId="0" borderId="1" xfId="0" applyFont="1" applyBorder="1" applyAlignment="1">
      <alignment horizontal="center"/>
    </xf>
    <xf numFmtId="0" fontId="0" fillId="0" borderId="0" xfId="0" applyAlignment="1">
      <alignment horizontal="center"/>
    </xf>
    <xf numFmtId="0" fontId="14" fillId="0" borderId="0" xfId="0" applyFont="1" applyAlignment="1">
      <alignment horizontal="center"/>
    </xf>
    <xf numFmtId="0" fontId="15" fillId="0" borderId="0" xfId="0" applyFont="1" applyAlignment="1">
      <alignment vertical="center"/>
    </xf>
    <xf numFmtId="0" fontId="12" fillId="0" borderId="0" xfId="0" applyFont="1" applyBorder="1" applyAlignment="1">
      <alignment horizontal="center" vertical="top"/>
    </xf>
    <xf numFmtId="0" fontId="0" fillId="4" borderId="0" xfId="0" applyFill="1" applyBorder="1"/>
    <xf numFmtId="0" fontId="14" fillId="0" borderId="0" xfId="0" applyFont="1" applyAlignment="1">
      <alignment vertical="top"/>
    </xf>
    <xf numFmtId="0" fontId="16" fillId="0" borderId="1" xfId="0" applyFont="1" applyBorder="1" applyAlignment="1">
      <alignment horizontal="center"/>
    </xf>
    <xf numFmtId="0" fontId="13" fillId="3" borderId="6" xfId="0" applyFont="1" applyFill="1" applyBorder="1" applyAlignment="1">
      <alignment vertical="center"/>
    </xf>
    <xf numFmtId="0" fontId="1" fillId="0" borderId="12" xfId="0" applyFont="1" applyBorder="1"/>
    <xf numFmtId="0" fontId="1" fillId="0" borderId="13" xfId="0" applyFont="1" applyBorder="1"/>
    <xf numFmtId="0" fontId="1" fillId="0" borderId="13" xfId="0" applyFont="1" applyBorder="1" applyAlignment="1">
      <alignment horizontal="left" vertical="center" indent="1"/>
    </xf>
    <xf numFmtId="0" fontId="1" fillId="0" borderId="14" xfId="0" applyFont="1" applyBorder="1" applyAlignment="1">
      <alignment horizontal="left" vertical="center" indent="1"/>
    </xf>
    <xf numFmtId="0" fontId="17" fillId="3" borderId="6" xfId="0" applyFont="1" applyFill="1" applyBorder="1" applyAlignment="1">
      <alignment horizontal="left" vertical="center"/>
    </xf>
    <xf numFmtId="0" fontId="10" fillId="0" borderId="0" xfId="0" applyFont="1" applyBorder="1" applyAlignment="1">
      <alignment vertical="center"/>
    </xf>
    <xf numFmtId="0" fontId="20" fillId="0" borderId="0" xfId="0" applyFont="1" applyBorder="1" applyAlignment="1">
      <alignment vertical="center"/>
    </xf>
    <xf numFmtId="0" fontId="10" fillId="0" borderId="0" xfId="0" applyFont="1" applyAlignment="1">
      <alignment horizontal="center"/>
    </xf>
    <xf numFmtId="0" fontId="0" fillId="0" borderId="0" xfId="0" applyBorder="1"/>
    <xf numFmtId="0" fontId="14" fillId="4" borderId="0" xfId="0" applyFont="1" applyFill="1" applyBorder="1" applyAlignment="1">
      <alignment horizontal="center" vertical="center"/>
    </xf>
    <xf numFmtId="0" fontId="2" fillId="2" borderId="1" xfId="0" applyFont="1" applyFill="1" applyBorder="1" applyAlignment="1">
      <alignment vertical="center"/>
    </xf>
    <xf numFmtId="0" fontId="10" fillId="2" borderId="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3" fillId="0" borderId="15" xfId="0" applyFont="1" applyBorder="1" applyAlignment="1"/>
    <xf numFmtId="0" fontId="7" fillId="0" borderId="15" xfId="0" applyFont="1" applyBorder="1" applyAlignment="1">
      <alignment horizontal="center"/>
    </xf>
    <xf numFmtId="0" fontId="3" fillId="0" borderId="1" xfId="0" applyFont="1" applyBorder="1" applyAlignment="1">
      <alignment horizontal="left" vertical="center" wrapText="1"/>
    </xf>
    <xf numFmtId="0" fontId="0" fillId="0" borderId="0" xfId="0" applyAlignment="1">
      <alignment horizontal="left"/>
    </xf>
    <xf numFmtId="0" fontId="15" fillId="0" borderId="0" xfId="0" applyFont="1" applyAlignment="1">
      <alignment horizontal="left" vertical="center"/>
    </xf>
    <xf numFmtId="0" fontId="12" fillId="0" borderId="0" xfId="0" applyFont="1" applyBorder="1" applyAlignment="1">
      <alignment horizontal="left" vertical="top"/>
    </xf>
    <xf numFmtId="0" fontId="3" fillId="0" borderId="0" xfId="0" applyFont="1" applyBorder="1" applyAlignment="1">
      <alignment horizontal="left" vertical="center"/>
    </xf>
    <xf numFmtId="0" fontId="14" fillId="0" borderId="0" xfId="0" applyFont="1" applyAlignment="1">
      <alignment horizontal="left" vertical="top"/>
    </xf>
    <xf numFmtId="0" fontId="23" fillId="0" borderId="0" xfId="0" applyFont="1" applyAlignment="1">
      <alignment horizontal="left"/>
    </xf>
    <xf numFmtId="0" fontId="0" fillId="0" borderId="0" xfId="0" applyAlignment="1"/>
    <xf numFmtId="0" fontId="0" fillId="0" borderId="1" xfId="0" applyBorder="1"/>
    <xf numFmtId="0" fontId="0" fillId="0" borderId="1" xfId="0" applyBorder="1" applyAlignment="1">
      <alignment horizontal="left"/>
    </xf>
    <xf numFmtId="2" fontId="0" fillId="0" borderId="1" xfId="0" applyNumberFormat="1" applyBorder="1" applyAlignment="1">
      <alignment horizontal="left"/>
    </xf>
    <xf numFmtId="164" fontId="0" fillId="0" borderId="1" xfId="0" applyNumberFormat="1" applyBorder="1" applyAlignment="1">
      <alignment horizontal="left"/>
    </xf>
    <xf numFmtId="0" fontId="9" fillId="2" borderId="1" xfId="0" applyFont="1" applyFill="1" applyBorder="1" applyAlignment="1">
      <alignment horizontal="left" vertical="top" wrapText="1"/>
    </xf>
    <xf numFmtId="0" fontId="9" fillId="2" borderId="1" xfId="0" applyFont="1" applyFill="1" applyBorder="1" applyAlignment="1">
      <alignment horizontal="left"/>
    </xf>
    <xf numFmtId="2" fontId="9" fillId="2" borderId="1" xfId="0" applyNumberFormat="1" applyFont="1" applyFill="1" applyBorder="1" applyAlignment="1">
      <alignment horizontal="left" wrapText="1"/>
    </xf>
    <xf numFmtId="0" fontId="9" fillId="2" borderId="15" xfId="0" applyFont="1" applyFill="1" applyBorder="1" applyAlignment="1">
      <alignment horizontal="left" wrapText="1"/>
    </xf>
    <xf numFmtId="0" fontId="9" fillId="2" borderId="3" xfId="0" applyFont="1" applyFill="1" applyBorder="1" applyAlignment="1">
      <alignment wrapText="1"/>
    </xf>
    <xf numFmtId="0" fontId="26" fillId="2" borderId="3" xfId="0" applyFont="1" applyFill="1" applyBorder="1" applyAlignment="1">
      <alignment vertical="center" wrapText="1"/>
    </xf>
    <xf numFmtId="0" fontId="26" fillId="2" borderId="1" xfId="0" applyFont="1" applyFill="1" applyBorder="1"/>
    <xf numFmtId="0" fontId="26" fillId="2" borderId="1" xfId="0" applyFont="1" applyFill="1" applyBorder="1" applyAlignment="1">
      <alignment vertical="center"/>
    </xf>
    <xf numFmtId="0" fontId="0" fillId="0" borderId="12" xfId="0" applyBorder="1"/>
    <xf numFmtId="0" fontId="0" fillId="0" borderId="13" xfId="0" applyBorder="1"/>
    <xf numFmtId="0" fontId="0" fillId="0" borderId="14" xfId="0" applyBorder="1"/>
    <xf numFmtId="0" fontId="9" fillId="2" borderId="3" xfId="0" applyFont="1" applyFill="1" applyBorder="1" applyAlignment="1">
      <alignment horizontal="left" vertical="center" wrapText="1"/>
    </xf>
    <xf numFmtId="0" fontId="27" fillId="0" borderId="0" xfId="0" applyFont="1" applyBorder="1" applyAlignment="1">
      <alignment horizontal="center" vertical="center"/>
    </xf>
    <xf numFmtId="0" fontId="1" fillId="0" borderId="9" xfId="0" applyFont="1" applyBorder="1"/>
    <xf numFmtId="0" fontId="1" fillId="0" borderId="9" xfId="0" applyFont="1" applyBorder="1" applyAlignment="1">
      <alignment horizontal="left"/>
    </xf>
    <xf numFmtId="0" fontId="1" fillId="0" borderId="11" xfId="0" applyFont="1" applyBorder="1"/>
    <xf numFmtId="0" fontId="0" fillId="0" borderId="9" xfId="0" applyBorder="1"/>
    <xf numFmtId="0" fontId="1" fillId="0" borderId="1" xfId="0" applyFont="1" applyBorder="1" applyAlignment="1">
      <alignment horizontal="left"/>
    </xf>
    <xf numFmtId="0" fontId="1" fillId="0" borderId="16" xfId="0" applyFont="1" applyBorder="1" applyAlignment="1">
      <alignment horizontal="center"/>
    </xf>
    <xf numFmtId="0" fontId="1" fillId="0" borderId="17" xfId="0" applyFont="1" applyBorder="1" applyAlignment="1">
      <alignment horizontal="left"/>
    </xf>
    <xf numFmtId="0" fontId="0" fillId="0" borderId="18" xfId="0" applyBorder="1"/>
    <xf numFmtId="0" fontId="1" fillId="0" borderId="19" xfId="0" applyFont="1" applyBorder="1" applyAlignment="1">
      <alignment horizontal="center"/>
    </xf>
    <xf numFmtId="0" fontId="0" fillId="0" borderId="20" xfId="0" applyBorder="1"/>
    <xf numFmtId="0" fontId="1" fillId="0" borderId="21" xfId="0" applyFont="1" applyBorder="1" applyAlignment="1">
      <alignment horizontal="center"/>
    </xf>
    <xf numFmtId="0" fontId="1" fillId="0" borderId="22" xfId="0" applyFont="1" applyBorder="1" applyAlignment="1">
      <alignment horizontal="left"/>
    </xf>
    <xf numFmtId="0" fontId="0" fillId="0" borderId="23" xfId="0" applyBorder="1"/>
    <xf numFmtId="0" fontId="22" fillId="0" borderId="14" xfId="0" applyFont="1" applyBorder="1"/>
    <xf numFmtId="164" fontId="0" fillId="0" borderId="1" xfId="0" applyNumberFormat="1" applyBorder="1"/>
    <xf numFmtId="0" fontId="9" fillId="0" borderId="1" xfId="0" applyFont="1" applyBorder="1" applyAlignment="1">
      <alignment horizontal="center" vertical="center" wrapText="1"/>
    </xf>
    <xf numFmtId="0" fontId="21" fillId="0" borderId="12" xfId="0" applyFont="1" applyBorder="1" applyAlignment="1">
      <alignment horizontal="left" indent="1"/>
    </xf>
    <xf numFmtId="0" fontId="21" fillId="0" borderId="13" xfId="0" applyFont="1" applyBorder="1" applyAlignment="1">
      <alignment horizontal="left" indent="1"/>
    </xf>
    <xf numFmtId="0" fontId="8" fillId="0" borderId="13" xfId="1" applyBorder="1" applyAlignment="1" applyProtection="1">
      <alignment horizontal="left" indent="1"/>
    </xf>
    <xf numFmtId="0" fontId="13" fillId="4" borderId="7" xfId="0" applyFont="1" applyFill="1" applyBorder="1" applyAlignment="1">
      <alignment horizontal="center" vertical="center"/>
    </xf>
    <xf numFmtId="0" fontId="13" fillId="4" borderId="8" xfId="0" applyFont="1" applyFill="1" applyBorder="1" applyAlignment="1">
      <alignment horizontal="center" vertical="center"/>
    </xf>
    <xf numFmtId="0" fontId="13" fillId="4" borderId="9" xfId="0" applyFont="1" applyFill="1" applyBorder="1" applyAlignment="1">
      <alignment horizontal="center" vertical="center"/>
    </xf>
    <xf numFmtId="0" fontId="13" fillId="4" borderId="10" xfId="0" applyFont="1" applyFill="1" applyBorder="1" applyAlignment="1">
      <alignment horizontal="center" vertical="center"/>
    </xf>
    <xf numFmtId="0" fontId="8" fillId="0" borderId="1" xfId="1" applyBorder="1" applyAlignment="1" applyProtection="1">
      <alignment horizontal="center" vertical="center"/>
    </xf>
    <xf numFmtId="0" fontId="0" fillId="0" borderId="1" xfId="0" applyBorder="1" applyAlignment="1">
      <alignment horizontal="center" vertical="center"/>
    </xf>
    <xf numFmtId="0" fontId="28" fillId="0" borderId="24" xfId="0" applyFont="1" applyBorder="1" applyAlignment="1">
      <alignment horizontal="center" vertical="center"/>
    </xf>
    <xf numFmtId="0" fontId="28" fillId="0" borderId="25" xfId="0" applyFont="1" applyBorder="1" applyAlignment="1">
      <alignment horizontal="center" vertical="center"/>
    </xf>
    <xf numFmtId="0" fontId="28" fillId="0" borderId="26" xfId="0" applyFont="1" applyBorder="1" applyAlignment="1">
      <alignment horizontal="center" vertical="center"/>
    </xf>
    <xf numFmtId="0" fontId="28" fillId="0" borderId="27" xfId="0" applyFont="1" applyBorder="1" applyAlignment="1">
      <alignment horizontal="center" vertical="center"/>
    </xf>
    <xf numFmtId="0" fontId="0" fillId="0" borderId="0" xfId="0" applyAlignment="1">
      <alignment horizontal="center" vertical="center"/>
    </xf>
    <xf numFmtId="0" fontId="3" fillId="4" borderId="0" xfId="0" applyFont="1" applyFill="1" applyBorder="1" applyAlignment="1">
      <alignment horizontal="left" wrapText="1"/>
    </xf>
    <xf numFmtId="0" fontId="3" fillId="4" borderId="0" xfId="0" applyFont="1" applyFill="1" applyBorder="1" applyAlignment="1">
      <alignment horizontal="left" vertical="center" wrapText="1"/>
    </xf>
    <xf numFmtId="0" fontId="3" fillId="4" borderId="0" xfId="0" applyFont="1" applyFill="1" applyBorder="1" applyAlignment="1">
      <alignment horizontal="left"/>
    </xf>
    <xf numFmtId="0" fontId="2" fillId="5" borderId="3" xfId="0" applyFont="1" applyFill="1" applyBorder="1" applyAlignment="1">
      <alignment horizontal="left" wrapText="1"/>
    </xf>
    <xf numFmtId="0" fontId="2" fillId="5" borderId="4" xfId="0" applyFont="1" applyFill="1" applyBorder="1" applyAlignment="1">
      <alignment horizontal="left" wrapText="1"/>
    </xf>
    <xf numFmtId="0" fontId="2" fillId="5" borderId="5" xfId="0" applyFont="1" applyFill="1" applyBorder="1" applyAlignment="1">
      <alignment horizontal="left" wrapText="1"/>
    </xf>
    <xf numFmtId="0" fontId="3" fillId="0" borderId="0" xfId="0" applyFont="1" applyAlignment="1">
      <alignment horizontal="left" wrapText="1"/>
    </xf>
    <xf numFmtId="0" fontId="11" fillId="0" borderId="2" xfId="0" applyFont="1" applyBorder="1" applyAlignment="1">
      <alignment horizontal="left" wrapText="1"/>
    </xf>
    <xf numFmtId="0" fontId="18" fillId="0" borderId="0" xfId="0" applyFont="1" applyBorder="1" applyAlignment="1">
      <alignment horizontal="center" vertical="center"/>
    </xf>
    <xf numFmtId="0" fontId="19" fillId="0" borderId="0" xfId="0" applyFont="1" applyBorder="1" applyAlignment="1">
      <alignment horizontal="center" vertical="center"/>
    </xf>
    <xf numFmtId="0" fontId="3" fillId="0" borderId="0" xfId="0" applyFont="1" applyBorder="1" applyAlignment="1">
      <alignment horizontal="center" vertical="center"/>
    </xf>
    <xf numFmtId="0" fontId="2" fillId="4" borderId="0" xfId="0" applyFont="1" applyFill="1" applyBorder="1" applyAlignment="1">
      <alignment horizontal="left" vertical="center" wrapText="1"/>
    </xf>
    <xf numFmtId="0" fontId="24" fillId="4" borderId="3" xfId="0" applyFont="1" applyFill="1" applyBorder="1" applyAlignment="1">
      <alignment horizontal="center"/>
    </xf>
    <xf numFmtId="0" fontId="24" fillId="4" borderId="5" xfId="0" applyFont="1" applyFill="1" applyBorder="1" applyAlignment="1">
      <alignment horizontal="center"/>
    </xf>
    <xf numFmtId="0" fontId="2" fillId="5" borderId="3" xfId="0" applyFont="1" applyFill="1" applyBorder="1" applyAlignment="1">
      <alignment horizontal="left"/>
    </xf>
    <xf numFmtId="0" fontId="2" fillId="5" borderId="4" xfId="0" applyFont="1" applyFill="1" applyBorder="1" applyAlignment="1">
      <alignment horizontal="left"/>
    </xf>
    <xf numFmtId="0" fontId="2" fillId="5" borderId="5" xfId="0" applyFont="1" applyFill="1" applyBorder="1" applyAlignment="1">
      <alignment horizontal="left"/>
    </xf>
    <xf numFmtId="0" fontId="24" fillId="4" borderId="3" xfId="0" applyFont="1" applyFill="1" applyBorder="1" applyAlignment="1">
      <alignment horizontal="center" wrapText="1"/>
    </xf>
    <xf numFmtId="0" fontId="24" fillId="4" borderId="5" xfId="0" applyFont="1" applyFill="1" applyBorder="1" applyAlignment="1">
      <alignment horizontal="center" wrapText="1"/>
    </xf>
    <xf numFmtId="0" fontId="9" fillId="4" borderId="3" xfId="0" applyFont="1" applyFill="1" applyBorder="1" applyAlignment="1">
      <alignment horizontal="center" wrapText="1"/>
    </xf>
    <xf numFmtId="0" fontId="9" fillId="4" borderId="5" xfId="0" applyFont="1" applyFill="1" applyBorder="1" applyAlignment="1">
      <alignment horizontal="center" wrapText="1"/>
    </xf>
    <xf numFmtId="0" fontId="25" fillId="0" borderId="3" xfId="0" applyFont="1" applyBorder="1" applyAlignment="1">
      <alignment horizontal="center" wrapText="1"/>
    </xf>
    <xf numFmtId="0" fontId="25" fillId="0" borderId="5" xfId="0" applyFont="1" applyBorder="1" applyAlignment="1">
      <alignment horizontal="center"/>
    </xf>
    <xf numFmtId="0" fontId="25" fillId="0" borderId="3" xfId="0" applyFont="1" applyBorder="1" applyAlignment="1">
      <alignment horizontal="center"/>
    </xf>
    <xf numFmtId="0" fontId="24" fillId="4" borderId="3" xfId="0" applyFont="1" applyFill="1" applyBorder="1" applyAlignment="1">
      <alignment horizontal="center" vertical="center" wrapText="1"/>
    </xf>
    <xf numFmtId="0" fontId="24" fillId="4" borderId="5" xfId="0" applyFont="1" applyFill="1" applyBorder="1" applyAlignment="1">
      <alignment horizontal="center" vertical="center" wrapText="1"/>
    </xf>
    <xf numFmtId="0" fontId="0" fillId="0" borderId="1" xfId="0" applyBorder="1" applyAlignment="1">
      <alignment horizontal="center"/>
    </xf>
  </cellXfs>
  <cellStyles count="2">
    <cellStyle name="Hyperlink" xfId="1" builtinId="8"/>
    <cellStyle name="Normal" xfId="0" builtinId="0"/>
  </cellStyles>
  <dxfs count="13">
    <dxf>
      <font>
        <color rgb="FFC00000"/>
      </font>
    </dxf>
    <dxf>
      <font>
        <color rgb="FF00B050"/>
      </font>
    </dxf>
    <dxf>
      <font>
        <color rgb="FFC00000"/>
      </font>
    </dxf>
    <dxf>
      <font>
        <color rgb="FF00B050"/>
      </font>
    </dxf>
    <dxf>
      <font>
        <color rgb="FFC0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00B050"/>
      </font>
    </dxf>
    <dxf>
      <font>
        <color rgb="FFFF0000"/>
      </font>
    </dxf>
  </dxfs>
  <tableStyles count="0" defaultTableStyle="TableStyleMedium9" defaultPivotStyle="PivotStyleLight16"/>
  <colors>
    <mruColors>
      <color rgb="FF2B77CB"/>
      <color rgb="FFF1F9EB"/>
    </mruColors>
  </colors>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cid:image002.jpg@01D20462.EE013B90" TargetMode="External"/><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xdr:col>
      <xdr:colOff>1866901</xdr:colOff>
      <xdr:row>1</xdr:row>
      <xdr:rowOff>257175</xdr:rowOff>
    </xdr:from>
    <xdr:to>
      <xdr:col>2</xdr:col>
      <xdr:colOff>1762125</xdr:colOff>
      <xdr:row>1</xdr:row>
      <xdr:rowOff>723901</xdr:rowOff>
    </xdr:to>
    <xdr:pic>
      <xdr:nvPicPr>
        <xdr:cNvPr id="3" name="Picture 2" descr="image001 (2).png"/>
        <xdr:cNvPicPr preferRelativeResize="0"/>
      </xdr:nvPicPr>
      <xdr:blipFill>
        <a:blip xmlns:r="http://schemas.openxmlformats.org/officeDocument/2006/relationships" r:embed="rId1" cstate="print"/>
        <a:stretch>
          <a:fillRect/>
        </a:stretch>
      </xdr:blipFill>
      <xdr:spPr>
        <a:xfrm>
          <a:off x="2057401" y="447675"/>
          <a:ext cx="2181224" cy="466726"/>
        </a:xfrm>
        <a:prstGeom prst="rect">
          <a:avLst/>
        </a:prstGeom>
      </xdr:spPr>
    </xdr:pic>
    <xdr:clientData fLocksWithSheet="0"/>
  </xdr:twoCellAnchor>
  <xdr:twoCellAnchor>
    <xdr:from>
      <xdr:col>5</xdr:col>
      <xdr:colOff>571500</xdr:colOff>
      <xdr:row>2</xdr:row>
      <xdr:rowOff>295274</xdr:rowOff>
    </xdr:from>
    <xdr:to>
      <xdr:col>8</xdr:col>
      <xdr:colOff>571500</xdr:colOff>
      <xdr:row>5</xdr:row>
      <xdr:rowOff>95250</xdr:rowOff>
    </xdr:to>
    <xdr:sp macro="[0]!SaveAs" textlink="">
      <xdr:nvSpPr>
        <xdr:cNvPr id="5" name="Rounded Rectangle 4"/>
        <xdr:cNvSpPr/>
      </xdr:nvSpPr>
      <xdr:spPr>
        <a:xfrm>
          <a:off x="7391400" y="1543049"/>
          <a:ext cx="1828800" cy="5524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t>Save</a:t>
          </a:r>
        </a:p>
      </xdr:txBody>
    </xdr:sp>
    <xdr:clientData/>
  </xdr:twoCellAnchor>
  <xdr:twoCellAnchor editAs="oneCell">
    <xdr:from>
      <xdr:col>1</xdr:col>
      <xdr:colOff>152401</xdr:colOff>
      <xdr:row>1</xdr:row>
      <xdr:rowOff>228600</xdr:rowOff>
    </xdr:from>
    <xdr:to>
      <xdr:col>1</xdr:col>
      <xdr:colOff>1657350</xdr:colOff>
      <xdr:row>1</xdr:row>
      <xdr:rowOff>600075</xdr:rowOff>
    </xdr:to>
    <xdr:pic>
      <xdr:nvPicPr>
        <xdr:cNvPr id="4" name="Picture 3" descr="cid:image006.jpg@01D0C953.8FC0F340"/>
        <xdr:cNvPicPr/>
      </xdr:nvPicPr>
      <xdr:blipFill>
        <a:blip xmlns:r="http://schemas.openxmlformats.org/officeDocument/2006/relationships" r:embed="rId2" r:link="rId3" cstate="print"/>
        <a:srcRect/>
        <a:stretch>
          <a:fillRect/>
        </a:stretch>
      </xdr:blipFill>
      <xdr:spPr bwMode="auto">
        <a:xfrm>
          <a:off x="342901" y="419100"/>
          <a:ext cx="1504949" cy="371475"/>
        </a:xfrm>
        <a:prstGeom prst="rect">
          <a:avLst/>
        </a:prstGeom>
        <a:noFill/>
        <a:ln w="9525">
          <a:noFill/>
          <a:miter lim="800000"/>
          <a:headEnd/>
          <a:tailEnd/>
        </a:ln>
      </xdr:spPr>
    </xdr:pic>
    <xdr:clientData/>
  </xdr:twoCellAnchor>
  <xdr:twoCellAnchor>
    <xdr:from>
      <xdr:col>2</xdr:col>
      <xdr:colOff>1952626</xdr:colOff>
      <xdr:row>1</xdr:row>
      <xdr:rowOff>171450</xdr:rowOff>
    </xdr:from>
    <xdr:to>
      <xdr:col>3</xdr:col>
      <xdr:colOff>563708</xdr:colOff>
      <xdr:row>1</xdr:row>
      <xdr:rowOff>523875</xdr:rowOff>
    </xdr:to>
    <xdr:pic>
      <xdr:nvPicPr>
        <xdr:cNvPr id="1025" name="Picture 8" descr="Bit-Lever"/>
        <xdr:cNvPicPr>
          <a:picLocks noChangeAspect="1" noChangeArrowheads="1"/>
        </xdr:cNvPicPr>
      </xdr:nvPicPr>
      <xdr:blipFill>
        <a:blip xmlns:r="http://schemas.openxmlformats.org/officeDocument/2006/relationships" r:embed="rId4" cstate="print"/>
        <a:srcRect/>
        <a:stretch>
          <a:fillRect/>
        </a:stretch>
      </xdr:blipFill>
      <xdr:spPr bwMode="auto">
        <a:xfrm>
          <a:off x="4429126" y="361950"/>
          <a:ext cx="1601932" cy="3524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cpubenchmark.net/cpu_list.php"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3"/>
  <dimension ref="A1:I28"/>
  <sheetViews>
    <sheetView tabSelected="1" zoomScale="80" zoomScaleNormal="80" workbookViewId="0">
      <selection activeCell="B20" sqref="B20"/>
    </sheetView>
  </sheetViews>
  <sheetFormatPr defaultRowHeight="15"/>
  <cols>
    <col min="1" max="1" width="15.85546875" customWidth="1"/>
    <col min="2" max="2" width="149.7109375" customWidth="1"/>
    <col min="3" max="3" width="10.85546875" style="35" bestFit="1" customWidth="1"/>
    <col min="4" max="4" width="27.42578125" style="35" bestFit="1" customWidth="1"/>
    <col min="5" max="5" width="14.85546875" customWidth="1"/>
    <col min="6" max="6" width="11.85546875" hidden="1" customWidth="1"/>
    <col min="7" max="7" width="0" hidden="1" customWidth="1"/>
    <col min="8" max="8" width="21.7109375" customWidth="1"/>
    <col min="9" max="9" width="18.42578125" customWidth="1"/>
  </cols>
  <sheetData>
    <row r="1" spans="1:9" ht="43.5" customHeight="1" thickBot="1">
      <c r="B1" s="18" t="s">
        <v>31</v>
      </c>
      <c r="H1" s="74" t="s">
        <v>45</v>
      </c>
      <c r="I1" s="74" t="s">
        <v>47</v>
      </c>
    </row>
    <row r="2" spans="1:9" ht="15.75">
      <c r="B2" s="75" t="s">
        <v>48</v>
      </c>
      <c r="H2" s="42" t="s">
        <v>38</v>
      </c>
      <c r="I2" s="73">
        <v>3</v>
      </c>
    </row>
    <row r="3" spans="1:9" ht="15.75">
      <c r="B3" s="76" t="s">
        <v>48</v>
      </c>
      <c r="H3" s="42" t="s">
        <v>39</v>
      </c>
      <c r="I3" s="73">
        <v>3.5</v>
      </c>
    </row>
    <row r="4" spans="1:9">
      <c r="B4" s="77" t="s">
        <v>48</v>
      </c>
      <c r="H4" s="42" t="s">
        <v>40</v>
      </c>
      <c r="I4" s="73">
        <v>4</v>
      </c>
    </row>
    <row r="5" spans="1:9" ht="15.75">
      <c r="B5" s="76" t="s">
        <v>48</v>
      </c>
      <c r="H5" s="42" t="s">
        <v>41</v>
      </c>
      <c r="I5" s="73">
        <v>4.8</v>
      </c>
    </row>
    <row r="6" spans="1:9" ht="15.75">
      <c r="B6" s="76" t="s">
        <v>48</v>
      </c>
      <c r="H6" s="42" t="s">
        <v>42</v>
      </c>
      <c r="I6" s="73">
        <v>5.5</v>
      </c>
    </row>
    <row r="7" spans="1:9" ht="15.75">
      <c r="B7" s="76" t="s">
        <v>48</v>
      </c>
      <c r="H7" s="42" t="s">
        <v>43</v>
      </c>
      <c r="I7" s="73">
        <v>6</v>
      </c>
    </row>
    <row r="8" spans="1:9" ht="15.75">
      <c r="B8" s="76" t="s">
        <v>48</v>
      </c>
      <c r="H8" s="42" t="s">
        <v>44</v>
      </c>
      <c r="I8" s="73">
        <v>8</v>
      </c>
    </row>
    <row r="9" spans="1:9" ht="15.75">
      <c r="B9" s="76" t="s">
        <v>48</v>
      </c>
      <c r="H9" s="82" t="s">
        <v>46</v>
      </c>
      <c r="I9" s="83"/>
    </row>
    <row r="10" spans="1:9" ht="15.75">
      <c r="B10" s="76"/>
      <c r="F10" t="str">
        <f>MID(B8,161,2)</f>
        <v/>
      </c>
      <c r="H10" s="83"/>
      <c r="I10" s="83"/>
    </row>
    <row r="11" spans="1:9" ht="15.75">
      <c r="B11" s="76"/>
      <c r="C11" s="40" t="e">
        <f>LEFT(B11,FIND("]",B11))</f>
        <v>#VALUE!</v>
      </c>
      <c r="D11" s="40" t="e">
        <f>MID(B11,FIND("[Upl",B11),9999)</f>
        <v>#VALUE!</v>
      </c>
      <c r="H11" s="84"/>
      <c r="I11" s="85"/>
    </row>
    <row r="12" spans="1:9" s="13" customFormat="1" ht="16.5" customHeight="1" thickBot="1">
      <c r="B12" s="72"/>
      <c r="C12" s="36"/>
      <c r="D12" s="36"/>
      <c r="H12" s="86"/>
      <c r="I12" s="87"/>
    </row>
    <row r="13" spans="1:9" ht="18.75">
      <c r="A13" s="54" t="s">
        <v>15</v>
      </c>
      <c r="B13" s="19" t="str">
        <f>MID(B3, 12,9999)</f>
        <v>ss: queenjamis@gmail.com</v>
      </c>
      <c r="C13" s="78" t="e">
        <f>'Results '!D6</f>
        <v>#VALUE!</v>
      </c>
      <c r="D13" s="79"/>
    </row>
    <row r="14" spans="1:9" ht="18.75">
      <c r="A14" s="55" t="s">
        <v>16</v>
      </c>
      <c r="B14" s="20" t="str">
        <f xml:space="preserve"> MID(B4, FIND("|", SUBSTITUTE(B4,":","|",1))+2,9999)</f>
        <v>queenjamis@gmail.com</v>
      </c>
      <c r="C14" s="80"/>
      <c r="D14" s="81"/>
    </row>
    <row r="15" spans="1:9" ht="19.5" thickBot="1">
      <c r="A15" s="55" t="s">
        <v>17</v>
      </c>
      <c r="B15" s="20" t="str">
        <f>MID(B2, 18,9999)</f>
        <v>eenjamis@gmail.com</v>
      </c>
      <c r="C15" s="80"/>
      <c r="D15" s="81"/>
      <c r="E15" s="62"/>
    </row>
    <row r="16" spans="1:9" ht="18.75">
      <c r="A16" s="55" t="s">
        <v>18</v>
      </c>
      <c r="B16" s="59" t="str">
        <f>IFERROR(MID(B7,FIND(":",B7)+2,9999),"Error")</f>
        <v>queenjamis@gmail.com</v>
      </c>
      <c r="C16" s="64" t="e">
        <f>IF(D16 &gt;='Minimum Requirements'!B2, "Y", "N")</f>
        <v>#VALUE!</v>
      </c>
      <c r="D16" s="65" t="e">
        <f>ABS(MID(B16, 9, 2))</f>
        <v>#VALUE!</v>
      </c>
      <c r="E16" s="66" t="s">
        <v>18</v>
      </c>
      <c r="F16" s="11"/>
    </row>
    <row r="17" spans="1:6" ht="18.75">
      <c r="A17" s="55" t="s">
        <v>19</v>
      </c>
      <c r="B17" s="60" t="e">
        <f>D17</f>
        <v>#VALUE!</v>
      </c>
      <c r="C17" s="67" t="str">
        <f>IF(ISERR(FIND("Mbps",D17)),"N",IF(VALUE(LEFT(D17,FIND(" ",D17)-1))&lt;'Minimum Requirements'!B6,"N","Y"))</f>
        <v>N</v>
      </c>
      <c r="D17" s="63" t="e">
        <f>LEFT(MID(C11,FIND("d:",C11)+3,9999),FIND("]",MID(C11,FIND("d:",C11)+3,9999))-1)</f>
        <v>#VALUE!</v>
      </c>
      <c r="E17" s="68" t="s">
        <v>19</v>
      </c>
      <c r="F17" s="14"/>
    </row>
    <row r="18" spans="1:6" ht="18.75">
      <c r="A18" s="55" t="s">
        <v>20</v>
      </c>
      <c r="B18" s="60" t="e">
        <f>D18</f>
        <v>#VALUE!</v>
      </c>
      <c r="C18" s="67" t="str">
        <f>IF(ISERR(FIND("Mbps",D18)),"N",IF(VALUE(LEFT(D18,FIND(" ",D18)-1))&lt;'Minimum Requirements'!B7,"N","Y"))</f>
        <v>N</v>
      </c>
      <c r="D18" s="63" t="e">
        <f>LEFT(MID(D11,FIND("d:",D11)+3,9999),FIND("]",MID(D11,FIND("d:",D11)+3,9999))-1)</f>
        <v>#VALUE!</v>
      </c>
      <c r="E18" s="68" t="s">
        <v>20</v>
      </c>
      <c r="F18" s="16"/>
    </row>
    <row r="19" spans="1:6" ht="18.75">
      <c r="A19" s="55" t="s">
        <v>21</v>
      </c>
      <c r="B19" s="60" t="str">
        <f>IFERROR(MID(B8,FIND("=",B8)+2,FIND("]",B8)-FIND("=",B8)-2),"Error")</f>
        <v>Error</v>
      </c>
      <c r="C19" s="67" t="e">
        <f>IF('Minimum Requirements'!B3&lt;=VALUE(D19),"Y","N")</f>
        <v>#VALUE!</v>
      </c>
      <c r="D19" s="63" t="str">
        <f>IF(B19="No score given",H11,B19)</f>
        <v>Error</v>
      </c>
      <c r="E19" s="68" t="s">
        <v>21</v>
      </c>
    </row>
    <row r="20" spans="1:6" ht="18.75">
      <c r="A20" s="55" t="s">
        <v>22</v>
      </c>
      <c r="B20" s="60" t="str">
        <f>IFERROR(MID(B9,FIND("RAM =",B9)+6,LEN(MID(B9,FIND("RAM =",B9)+6,9999))-2),"Error")</f>
        <v>Error</v>
      </c>
      <c r="C20" s="67" t="e">
        <f>IF(ABS(D20) &gt;= 'Minimum Requirements'!B4, "Y", "N")</f>
        <v>#VALUE!</v>
      </c>
      <c r="D20" s="63" t="str">
        <f>IFERROR(LEFT(B20,FIND("GB",B20)-1),"Error")</f>
        <v>Error</v>
      </c>
      <c r="E20" s="68" t="s">
        <v>22</v>
      </c>
    </row>
    <row r="21" spans="1:6" ht="19.5" thickBot="1">
      <c r="A21" s="56" t="s">
        <v>23</v>
      </c>
      <c r="B21" s="61" t="str">
        <f>IFERROR(MID(B10,FIND("Avail",B10)+18,LEN(MID(B10,FIND("Avail",B10)+18,9999))-1),"Error")</f>
        <v>Error</v>
      </c>
      <c r="C21" s="69" t="e">
        <f>IF(COUNTIF(B21, "*failed*") =  0, IF(ABS(D21) &gt;= 'Minimum Requirements'!B5, "Y", "N"), "F")</f>
        <v>#VALUE!</v>
      </c>
      <c r="D21" s="70" t="str">
        <f>IFERROR(LEFT(B21,FIND("GB",B21)-1),"Error")</f>
        <v>Error</v>
      </c>
      <c r="E21" s="71" t="s">
        <v>23</v>
      </c>
    </row>
    <row r="22" spans="1:6" ht="35.25" customHeight="1" thickBot="1">
      <c r="B22" s="23" t="s">
        <v>7</v>
      </c>
      <c r="C22" s="37"/>
      <c r="D22" s="58"/>
    </row>
    <row r="23" spans="1:6" ht="18.75">
      <c r="B23" s="21" t="e">
        <f>(LEFT(B16,FIND("Build",B16)-2))</f>
        <v>#VALUE!</v>
      </c>
      <c r="C23" s="37"/>
      <c r="D23" s="39"/>
    </row>
    <row r="24" spans="1:6" ht="18.75">
      <c r="B24" s="21" t="str">
        <f>SUBSTITUTE(IFERROR(MID(B8,FIND("[",B8),9999),"Error"),"No score given",H11)</f>
        <v>Error</v>
      </c>
      <c r="C24" s="38"/>
    </row>
    <row r="25" spans="1:6" ht="18.75">
      <c r="B25" s="21" t="str">
        <f>"RAM:  " &amp; D20 &amp; "GB"</f>
        <v>RAM:  ErrorGB</v>
      </c>
      <c r="C25" s="38"/>
    </row>
    <row r="26" spans="1:6" ht="18.75">
      <c r="B26" s="21" t="str">
        <f>"HDD:  " &amp; D21 &amp; "GB"</f>
        <v>HDD:  ErrorGB</v>
      </c>
    </row>
    <row r="27" spans="1:6" ht="18.75">
      <c r="B27" s="21" t="e">
        <f>"DL Speed: " &amp; B17</f>
        <v>#VALUE!</v>
      </c>
    </row>
    <row r="28" spans="1:6" ht="19.5" thickBot="1">
      <c r="B28" s="22" t="e">
        <f>"UL Speed: " &amp; B18</f>
        <v>#VALUE!</v>
      </c>
    </row>
  </sheetData>
  <mergeCells count="3">
    <mergeCell ref="C13:D15"/>
    <mergeCell ref="H9:I10"/>
    <mergeCell ref="H11:I12"/>
  </mergeCells>
  <conditionalFormatting sqref="C13:D15">
    <cfRule type="containsText" dxfId="12" priority="7" operator="containsText" text="Failed">
      <formula>NOT(ISERROR(SEARCH("Failed",C13)))</formula>
    </cfRule>
    <cfRule type="containsText" dxfId="11" priority="8" operator="containsText" text="Passed">
      <formula>NOT(ISERROR(SEARCH("Passed",C13)))</formula>
    </cfRule>
  </conditionalFormatting>
  <conditionalFormatting sqref="C18:E18">
    <cfRule type="expression" dxfId="10" priority="6">
      <formula>$C$18="N"</formula>
    </cfRule>
  </conditionalFormatting>
  <conditionalFormatting sqref="C16:E16">
    <cfRule type="expression" dxfId="9" priority="5">
      <formula>$C$16="N"</formula>
    </cfRule>
  </conditionalFormatting>
  <conditionalFormatting sqref="C17:E17">
    <cfRule type="expression" dxfId="8" priority="4">
      <formula>$C$17="N"</formula>
    </cfRule>
  </conditionalFormatting>
  <conditionalFormatting sqref="C19:E19">
    <cfRule type="expression" dxfId="7" priority="3">
      <formula>$C$19="N"</formula>
    </cfRule>
  </conditionalFormatting>
  <conditionalFormatting sqref="C20:E20">
    <cfRule type="expression" dxfId="6" priority="2">
      <formula>$C$20="N"</formula>
    </cfRule>
  </conditionalFormatting>
  <conditionalFormatting sqref="C21:E21">
    <cfRule type="expression" dxfId="5" priority="1">
      <formula>$C$21="N"</formula>
    </cfRule>
  </conditionalFormatting>
  <hyperlinks>
    <hyperlink ref="H9"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sheetPr codeName="Sheet2"/>
  <dimension ref="A2:AT31"/>
  <sheetViews>
    <sheetView workbookViewId="0">
      <selection activeCell="B17" sqref="B17:D17"/>
    </sheetView>
  </sheetViews>
  <sheetFormatPr defaultRowHeight="15"/>
  <cols>
    <col min="1" max="1" width="2.85546875" customWidth="1"/>
    <col min="2" max="2" width="34.28515625" customWidth="1"/>
    <col min="3" max="3" width="44.85546875" customWidth="1"/>
    <col min="4" max="4" width="10.85546875" bestFit="1" customWidth="1"/>
  </cols>
  <sheetData>
    <row r="2" spans="1:46" ht="63" customHeight="1">
      <c r="B2" s="88"/>
      <c r="C2" s="88"/>
      <c r="D2" s="88"/>
    </row>
    <row r="3" spans="1:46" ht="26.25" customHeight="1">
      <c r="B3" s="97" t="s">
        <v>6</v>
      </c>
      <c r="C3" s="98"/>
      <c r="D3" s="97"/>
    </row>
    <row r="4" spans="1:46" ht="17.25" customHeight="1">
      <c r="B4" s="5"/>
      <c r="C4" s="6"/>
      <c r="E4" s="12"/>
    </row>
    <row r="5" spans="1:46" ht="15" customHeight="1">
      <c r="B5" s="24" t="s">
        <v>14</v>
      </c>
      <c r="C5" s="25" t="str">
        <f>'Candidate''s Systems'!B13</f>
        <v>ss: queenjamis@gmail.com</v>
      </c>
      <c r="D5" s="26" t="s">
        <v>8</v>
      </c>
    </row>
    <row r="6" spans="1:46" ht="28.5" customHeight="1">
      <c r="B6" s="24" t="s">
        <v>5</v>
      </c>
      <c r="C6" s="25" t="str">
        <f>'Candidate''s Systems'!B15</f>
        <v>eenjamis@gmail.com</v>
      </c>
      <c r="D6" s="28" t="e">
        <f>IF(AND(D13="Y",D14="Y", D15="Y", D13="Y",D16="Y", D18="Y",D19="Y" ), "Passed",  "Failed")</f>
        <v>#VALUE!</v>
      </c>
    </row>
    <row r="7" spans="1:46" ht="15.75" hidden="1">
      <c r="B7" s="99"/>
      <c r="C7" s="99"/>
      <c r="D7" s="99"/>
    </row>
    <row r="8" spans="1:46" ht="91.5" customHeight="1">
      <c r="B8" s="95" t="s">
        <v>29</v>
      </c>
      <c r="C8" s="96"/>
      <c r="D8" s="95"/>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row>
    <row r="9" spans="1:46" ht="2.25" customHeight="1">
      <c r="B9" s="2"/>
      <c r="C9" s="3"/>
      <c r="D9" s="2"/>
    </row>
    <row r="10" spans="1:46" ht="1.5" customHeight="1">
      <c r="B10" s="100"/>
      <c r="C10" s="100"/>
      <c r="D10" s="100"/>
    </row>
    <row r="11" spans="1:46" ht="24" customHeight="1">
      <c r="B11" s="29" t="s">
        <v>9</v>
      </c>
      <c r="C11" s="30" t="s">
        <v>0</v>
      </c>
      <c r="D11" s="31" t="s">
        <v>3</v>
      </c>
    </row>
    <row r="12" spans="1:46" ht="26.25" customHeight="1">
      <c r="A12" s="27"/>
      <c r="B12" s="103" t="s">
        <v>2</v>
      </c>
      <c r="C12" s="104"/>
      <c r="D12" s="105"/>
      <c r="E12" s="27"/>
    </row>
    <row r="13" spans="1:46" ht="18.75">
      <c r="B13" s="46" t="str">
        <f>"OS: Windows "&amp;'Minimum Requirements'!B2&amp;" or higher"</f>
        <v>OS: Windows 7 or higher</v>
      </c>
      <c r="C13" s="7" t="e">
        <f>'Candidate''s Systems'!B23</f>
        <v>#VALUE!</v>
      </c>
      <c r="D13" s="10" t="e">
        <f>'Candidate''s Systems'!C16</f>
        <v>#VALUE!</v>
      </c>
    </row>
    <row r="14" spans="1:46" ht="18.75">
      <c r="B14" s="47" t="str">
        <f>"Hard Drive: "&amp;'Minimum Requirements'!B5&amp; " GB+"</f>
        <v>Hard Drive: 25 GB+</v>
      </c>
      <c r="C14" s="7" t="str">
        <f>'Candidate''s Systems'!D21 &amp; " GB HDD"</f>
        <v>Error GB HDD</v>
      </c>
      <c r="D14" s="17" t="e">
        <f>'Candidate''s Systems'!C21</f>
        <v>#VALUE!</v>
      </c>
    </row>
    <row r="15" spans="1:46" ht="18.75">
      <c r="B15" s="47" t="str">
        <f>"RAM: "&amp;'Minimum Requirements'!B4&amp;" GB+"</f>
        <v>RAM: 2 GB+</v>
      </c>
      <c r="C15" s="7" t="str">
        <f>'Candidate''s Systems'!D20 &amp; " GB RAM"</f>
        <v>Error GB RAM</v>
      </c>
      <c r="D15" s="17" t="e">
        <f>'Candidate''s Systems'!C20</f>
        <v>#VALUE!</v>
      </c>
    </row>
    <row r="16" spans="1:46" ht="18.75">
      <c r="B16" s="46" t="str">
        <f>"CPU Score: "&amp;TEXT('Minimum Requirements'!B3,"#.0")&amp;" or higher"</f>
        <v>CPU Score: 4.8 or higher</v>
      </c>
      <c r="C16" s="34" t="str">
        <f>'Candidate''s Systems'!D19</f>
        <v>Error</v>
      </c>
      <c r="D16" s="10" t="e">
        <f>'Candidate''s Systems'!C19</f>
        <v>#VALUE!</v>
      </c>
    </row>
    <row r="17" spans="1:16" ht="24.75" customHeight="1">
      <c r="A17" s="27"/>
      <c r="B17" s="92" t="s">
        <v>1</v>
      </c>
      <c r="C17" s="93"/>
      <c r="D17" s="94"/>
      <c r="E17" s="27"/>
    </row>
    <row r="18" spans="1:16" ht="21" customHeight="1">
      <c r="B18" s="48" t="str">
        <f>"Upload: "&amp;TEXT('Minimum Requirements'!B7,"#.0")&amp;" Mbps or higher"</f>
        <v>Upload: 1.0 Mbps or higher</v>
      </c>
      <c r="C18" s="8" t="e">
        <f>('Candidate''s Systems'!D18)</f>
        <v>#VALUE!</v>
      </c>
      <c r="D18" s="9" t="str">
        <f>'Candidate''s Systems'!C18</f>
        <v>N</v>
      </c>
      <c r="F18" s="4"/>
    </row>
    <row r="19" spans="1:16" ht="21" customHeight="1">
      <c r="B19" s="49" t="str">
        <f>"Download: "&amp;TEXT('Minimum Requirements'!B6,"#.0")&amp;" Mbps or higher"</f>
        <v>Download: 3.0 Mbps or higher</v>
      </c>
      <c r="C19" s="32" t="e">
        <f>'Candidate''s Systems'!D17</f>
        <v>#VALUE!</v>
      </c>
      <c r="D19" s="33" t="str">
        <f>'Candidate''s Systems'!C17</f>
        <v>N</v>
      </c>
    </row>
    <row r="20" spans="1:16" ht="25.5" customHeight="1">
      <c r="A20" s="27"/>
      <c r="B20" s="92" t="s">
        <v>30</v>
      </c>
      <c r="C20" s="93"/>
      <c r="D20" s="94"/>
      <c r="E20" s="27"/>
    </row>
    <row r="21" spans="1:16" ht="18" customHeight="1">
      <c r="B21" s="50"/>
      <c r="C21" s="108" t="s">
        <v>13</v>
      </c>
      <c r="D21" s="109"/>
      <c r="I21" s="15"/>
      <c r="J21" s="89"/>
      <c r="K21" s="89"/>
      <c r="L21" s="89"/>
    </row>
    <row r="22" spans="1:16" ht="45" customHeight="1">
      <c r="B22" s="57" t="s">
        <v>4</v>
      </c>
      <c r="C22" s="110" t="s">
        <v>32</v>
      </c>
      <c r="D22" s="111"/>
      <c r="I22" s="15"/>
      <c r="J22" s="90"/>
      <c r="K22" s="90"/>
      <c r="L22" s="90"/>
    </row>
    <row r="23" spans="1:16" ht="18.75" customHeight="1">
      <c r="B23" s="51" t="s">
        <v>33</v>
      </c>
      <c r="C23" s="112" t="s">
        <v>34</v>
      </c>
      <c r="D23" s="111"/>
      <c r="I23" s="15"/>
      <c r="J23" s="91"/>
      <c r="K23" s="91"/>
      <c r="L23" s="91"/>
    </row>
    <row r="24" spans="1:16" ht="36" customHeight="1">
      <c r="B24" s="53" t="s">
        <v>35</v>
      </c>
      <c r="C24" s="113" t="s">
        <v>36</v>
      </c>
      <c r="D24" s="114"/>
    </row>
    <row r="25" spans="1:16" ht="18.75" customHeight="1">
      <c r="B25" s="52" t="s">
        <v>37</v>
      </c>
      <c r="C25" s="101" t="s">
        <v>12</v>
      </c>
      <c r="D25" s="102"/>
    </row>
    <row r="26" spans="1:16" ht="35.25" customHeight="1">
      <c r="B26" s="53" t="s">
        <v>10</v>
      </c>
      <c r="C26" s="106" t="s">
        <v>11</v>
      </c>
      <c r="D26" s="107"/>
    </row>
    <row r="28" spans="1:16" ht="15.75">
      <c r="M28" s="15"/>
      <c r="N28" s="89"/>
      <c r="O28" s="89"/>
      <c r="P28" s="89"/>
    </row>
    <row r="29" spans="1:16" ht="15.75">
      <c r="M29" s="15"/>
      <c r="N29" s="90"/>
      <c r="O29" s="90"/>
      <c r="P29" s="90"/>
    </row>
    <row r="30" spans="1:16" ht="15.75">
      <c r="M30" s="15"/>
      <c r="N30" s="91"/>
      <c r="O30" s="91"/>
      <c r="P30" s="91"/>
    </row>
    <row r="31" spans="1:16" ht="15.75">
      <c r="M31" s="15"/>
      <c r="N31" s="89"/>
      <c r="O31" s="89"/>
      <c r="P31" s="89"/>
    </row>
  </sheetData>
  <mergeCells count="21">
    <mergeCell ref="C26:D26"/>
    <mergeCell ref="C21:D21"/>
    <mergeCell ref="C22:D22"/>
    <mergeCell ref="C23:D23"/>
    <mergeCell ref="C24:D24"/>
    <mergeCell ref="B2:D2"/>
    <mergeCell ref="N28:P28"/>
    <mergeCell ref="N29:P29"/>
    <mergeCell ref="N30:P30"/>
    <mergeCell ref="N31:P31"/>
    <mergeCell ref="B20:D20"/>
    <mergeCell ref="B8:D8"/>
    <mergeCell ref="B3:D3"/>
    <mergeCell ref="B7:D7"/>
    <mergeCell ref="B17:D17"/>
    <mergeCell ref="B10:D10"/>
    <mergeCell ref="J21:L21"/>
    <mergeCell ref="J22:L22"/>
    <mergeCell ref="J23:L23"/>
    <mergeCell ref="C25:D25"/>
    <mergeCell ref="B12:D12"/>
  </mergeCells>
  <conditionalFormatting sqref="D13:D16 D18:D19">
    <cfRule type="cellIs" dxfId="4" priority="18" operator="equal">
      <formula>"N"</formula>
    </cfRule>
    <cfRule type="cellIs" dxfId="3" priority="19" operator="equal">
      <formula>"Y"</formula>
    </cfRule>
  </conditionalFormatting>
  <conditionalFormatting sqref="D18">
    <cfRule type="containsText" dxfId="2" priority="3" operator="containsText" text="F">
      <formula>NOT(ISERROR(SEARCH("F",D18)))</formula>
    </cfRule>
  </conditionalFormatting>
  <conditionalFormatting sqref="D6">
    <cfRule type="cellIs" dxfId="1" priority="1" operator="equal">
      <formula>"Passed"</formula>
    </cfRule>
    <cfRule type="cellIs" dxfId="0" priority="2" operator="equal">
      <formula>"Failed"</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1"/>
  <dimension ref="A1:D7"/>
  <sheetViews>
    <sheetView workbookViewId="0">
      <selection activeCell="B2" sqref="B2"/>
    </sheetView>
  </sheetViews>
  <sheetFormatPr defaultRowHeight="15"/>
  <cols>
    <col min="1" max="1" width="16.5703125" customWidth="1"/>
    <col min="2" max="2" width="13.5703125" customWidth="1"/>
  </cols>
  <sheetData>
    <row r="1" spans="1:4">
      <c r="A1" s="115" t="s">
        <v>24</v>
      </c>
      <c r="B1" s="115"/>
      <c r="C1" s="41"/>
      <c r="D1" s="41"/>
    </row>
    <row r="2" spans="1:4">
      <c r="A2" s="42" t="s">
        <v>18</v>
      </c>
      <c r="B2" s="43">
        <v>7</v>
      </c>
    </row>
    <row r="3" spans="1:4">
      <c r="A3" s="42" t="s">
        <v>25</v>
      </c>
      <c r="B3" s="45">
        <v>4.8</v>
      </c>
    </row>
    <row r="4" spans="1:4">
      <c r="A4" s="42" t="s">
        <v>22</v>
      </c>
      <c r="B4" s="43">
        <v>2</v>
      </c>
    </row>
    <row r="5" spans="1:4">
      <c r="A5" s="42" t="s">
        <v>26</v>
      </c>
      <c r="B5" s="43">
        <v>25</v>
      </c>
    </row>
    <row r="6" spans="1:4">
      <c r="A6" s="42" t="s">
        <v>27</v>
      </c>
      <c r="B6" s="44">
        <v>3</v>
      </c>
    </row>
    <row r="7" spans="1:4">
      <c r="A7" s="42" t="s">
        <v>28</v>
      </c>
      <c r="B7" s="44">
        <v>1</v>
      </c>
    </row>
  </sheetData>
  <mergeCells count="1">
    <mergeCell ref="A1:B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Candidate's Systems</vt:lpstr>
      <vt:lpstr>Results </vt:lpstr>
      <vt:lpstr>Minimum Requirements</vt:lpstr>
      <vt:lpstr>'Results '!Print_Area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brodriguez</dc:creator>
  <cp:lastModifiedBy>Byron Rodriguez</cp:lastModifiedBy>
  <cp:lastPrinted>2016-10-26T15:17:27Z</cp:lastPrinted>
  <dcterms:created xsi:type="dcterms:W3CDTF">2016-05-12T12:53:17Z</dcterms:created>
  <dcterms:modified xsi:type="dcterms:W3CDTF">2016-12-21T23:13:24Z</dcterms:modified>
</cp:coreProperties>
</file>